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Projects/AI/find-price/output/"/>
    </mc:Choice>
  </mc:AlternateContent>
  <xr:revisionPtr revIDLastSave="0" documentId="13_ncr:1_{0B02CE58-8E53-A54F-B28D-9F170BBD92E3}" xr6:coauthVersionLast="47" xr6:coauthVersionMax="47" xr10:uidLastSave="{00000000-0000-0000-0000-000000000000}"/>
  <bookViews>
    <workbookView xWindow="4600" yWindow="760" windowWidth="25640" windowHeight="14440" activeTab="1" xr2:uid="{F2CA0B74-71ED-EA4D-A14D-BFD29DF0BB1C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5" i="2"/>
  <c r="F13" i="2"/>
  <c r="F12" i="2"/>
  <c r="F11" i="2"/>
  <c r="F10" i="2"/>
  <c r="F9" i="2"/>
  <c r="F15" i="1"/>
  <c r="F14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<sst xmlns="http://schemas.openxmlformats.org/spreadsheetml/2006/main" count="158" uniqueCount="122">
  <si>
    <t>BẢNG TIÊN LƯỢNG MỜI THẦU (BOQ)</t>
  </si>
  <si>
    <t>Dự án:</t>
  </si>
  <si>
    <t>Cải tạo Vincom Đồng Khởi</t>
  </si>
  <si>
    <t xml:space="preserve">Gói thầu: </t>
  </si>
  <si>
    <t>Thi công trần thạch cao, sơn bả</t>
  </si>
  <si>
    <t>Stt</t>
  </si>
  <si>
    <t>Nội dung công việc</t>
  </si>
  <si>
    <t>Quy cách kỹ thuật</t>
  </si>
  <si>
    <t>Yêu cầu khác</t>
  </si>
  <si>
    <t>Đơn vị tính</t>
  </si>
  <si>
    <t>Khối lượng</t>
  </si>
  <si>
    <t>Đơn giá</t>
  </si>
  <si>
    <t>Thành tiền</t>
  </si>
  <si>
    <t>Ghi chú</t>
  </si>
  <si>
    <t>Công tác cải tạo</t>
  </si>
  <si>
    <t>Trần thạch cao xương chìm</t>
  </si>
  <si>
    <t>Hãng SX: Vĩnh tường/Zinca hoặc tương đương.
- Tấm thạch cao tiêu chuẩn dày 12.5mm
- Hệ xương chính: tôn mạ kẽm dày 0.72mm ± 0.02, a900
- Hệ xương phụ: tôn mạ kẽm,, độ dày 0.40mm ± 0.02, a400
- Thanh Viền 18/22 dày 0.40mm ± 0.02
- Tyren inox D6 cách đều a900
- Dán băng keo lưới tại các mối nối</t>
  </si>
  <si>
    <t>m2</t>
  </si>
  <si>
    <t>Gia cường hệ khung xương trần tại vị trí bổ sung FCU</t>
  </si>
  <si>
    <t>Hãng SX: Vĩnh tường/Zinca hoặc tương đương.
- Tăng cường khoảng cách hệ xương chính: tôn mạ kẽm dày 0.72mm ± 0.02, khoảng cách @700 để liên kết trần nhôm
- Tăng cường khoảng cách hệ xương phụ: tôn mạ kẽm,, độ dày 0.40mm ± 0.02, khoảng cách @300 để liên kết hệ trần nhôm</t>
  </si>
  <si>
    <t>Hệ cửa thăm trần thạch cao</t>
  </si>
  <si>
    <t>Tấm tiêu chuẩn 600x600x9mm tiêu chuẩn
Boral/Gyproc/ Zinca hoặc tương đương</t>
  </si>
  <si>
    <t>cái</t>
  </si>
  <si>
    <t>Lắp đặt trần nhôm</t>
  </si>
  <si>
    <t>Vật tư tận dụng
Vật tư phụ NT cấp</t>
  </si>
  <si>
    <t>Trần thạch cao khung xương nổi</t>
  </si>
  <si>
    <t>- Trần thạch cao khung xương nổi 600x600
- Tấm chuẩn dày 8mm chịu ẩm Vĩnh Tường hoặc tương đương
- Hệ xương chính: tôn mạ kẽm T3660 dày 0.3mm ±0.02, a1200
- Hệ xương phụ: tôn mạ kẽm, T1.220, T610 dày 0.3mm ±0.02, a600
- Thanh Viền tường VT18/22 dày 0.4 ± 0.03
- Tyren inox D4 cách đều a1200</t>
  </si>
  <si>
    <t>Sơn hoàn thiện trần thạch cao</t>
  </si>
  <si>
    <t>- Bả 02 lớp bằng bột bả Jotun/Dulux nội thất hoặc tương đương
- Sơn 1 nước lót, 2 nước phủ, màu theo chỉ định (hoặc tương đương)
- Nhà thầu trình chủng loại, màu sắc sơn cho TVTK duyệt trước khi đặt hàng thi công
- Chi tiết theo BVTK</t>
  </si>
  <si>
    <t>Sơn trần thô hiện trạng</t>
  </si>
  <si>
    <t>- Sơn 1 nước lót, 2 nước phủ, màu theo chỉ định (hoặc tương đương)
- Nhà thầu trình chủng loại, màu sắc sơn cho TVTK duyệt trước khi đặt hàng thi công
- Chi tiết theo BVTK</t>
  </si>
  <si>
    <t xml:space="preserve"> Đắp cát đen tôn nền bằng đầm cóc</t>
  </si>
  <si>
    <t>đào móng công trình bằng máy đất cấp 1</t>
  </si>
  <si>
    <t>đào móng bằng máy trung chuyển bốc lên xe</t>
  </si>
  <si>
    <t>đào hố móng bằng thủ công đất cấp 1</t>
  </si>
  <si>
    <t>đắp đất hố móng bằng đầm cóc K90</t>
  </si>
  <si>
    <t>đắp đất tận dụng hố móng có yêu cầu độ chặt</t>
  </si>
  <si>
    <t>đắp đất hố móng không yêu cầu độ chặt</t>
  </si>
  <si>
    <t>đầm chặt nền đất tận dụng bằng đầm cóc</t>
  </si>
  <si>
    <t>đắp cát đen tôn nền không yêu cầu độ chặt</t>
  </si>
  <si>
    <t>đầm nền cát bằng đầm cóc</t>
  </si>
  <si>
    <t>vận chuyển đất cát nội bộ trong dự án cự ly 1km</t>
  </si>
  <si>
    <t>vận chuyển đất cát tập kết nội bộ cự ly 2km</t>
  </si>
  <si>
    <t>vận chuyển đất thừa phế thải ra khỏi công trình</t>
  </si>
  <si>
    <t>cắt đầu cọc tròn ly tâm dự ứng lực D300</t>
  </si>
  <si>
    <t>cắt đầu cọc ly tâm D350</t>
  </si>
  <si>
    <t>cắt đầu cọc bê tông dự ứng lực D400</t>
  </si>
  <si>
    <t>cắt đầu cọc tròn D500</t>
  </si>
  <si>
    <t>đập đầu cọc bê tông bằng búa căn khí nén</t>
  </si>
  <si>
    <t>thép tấm các loại SS400</t>
  </si>
  <si>
    <t>bê tông lót mác 100 độ sụt 12</t>
  </si>
  <si>
    <t>bê tông lót mác 150 B10</t>
  </si>
  <si>
    <t>bê tông đài dầm giằng móng mác 250</t>
  </si>
  <si>
    <t>bê tông đài giằng móng B22.5</t>
  </si>
  <si>
    <t>bê tông cấu kiện tương tự tam cấp bậc thềm bể nước</t>
  </si>
  <si>
    <t>bê tông cột trụ vách tường mác 300</t>
  </si>
  <si>
    <t>bê tông cột vách B30 độ sụt 16</t>
  </si>
  <si>
    <t>bê tông xà dầm sàn phẳng mác 250</t>
  </si>
  <si>
    <t>bê tông sàn phẳng B40</t>
  </si>
  <si>
    <t>bê tông lanh tô ô văng tấm đan giằng tường</t>
  </si>
  <si>
    <t>ván khuôn lót các loại cốp pha gỗ ván ép</t>
  </si>
  <si>
    <t>ván khuôn đài dầm giằng móng</t>
  </si>
  <si>
    <t>ván khuôn cột trụ vách</t>
  </si>
  <si>
    <t>ván khuôn xà dầm sàn phẳng</t>
  </si>
  <si>
    <t>ván khuôn sàn nghiêng mái dốc</t>
  </si>
  <si>
    <t>ván khuôn cầu thang bộ đổ riêng</t>
  </si>
  <si>
    <t>ván khuôn cấu kiện hình cong chi tiết nhỏ lẻ</t>
  </si>
  <si>
    <t>cốt thép đài dầm giằng móng D nhỏ hơn 10</t>
  </si>
  <si>
    <t>cốt thép đài dầm giằng móng D lớn hơn bằng 10</t>
  </si>
  <si>
    <t>cốt thép cột trụ vách tường D&lt;10</t>
  </si>
  <si>
    <t>cốt thép xà dầm sàn phẳng D&gt;=10</t>
  </si>
  <si>
    <t>cốt thép lanh tô ô văng trụ chân cơ</t>
  </si>
  <si>
    <t>lắp đặt lưới thép hàn D6A200</t>
  </si>
  <si>
    <t>lắp dựng lưới thép hàn gia cố vị trí</t>
  </si>
  <si>
    <t>khoan cấy thép D10 hilti RE500</t>
  </si>
  <si>
    <t>khoan cấy thép hóa chất D16</t>
  </si>
  <si>
    <t>chiều sâu khoan tối thiểu 10D keo hilti</t>
  </si>
  <si>
    <t>xây tường thẳng dày nhỏ hơn 110</t>
  </si>
  <si>
    <t>xây tường gạch đặc vữa xi măng mác 50</t>
  </si>
  <si>
    <t>xây cột trụ kết cấu phức tạp bậc cầu thang</t>
  </si>
  <si>
    <t>xây móng gạch đặc miền nam</t>
  </si>
  <si>
    <t>xây móng gạch đặc miền bắc</t>
  </si>
  <si>
    <t>trát tường trong nhà dày 1.5cm</t>
  </si>
  <si>
    <t>trát trần vữa xi măng mác 75</t>
  </si>
  <si>
    <t>trát má cửa trong nhà 110</t>
  </si>
  <si>
    <t>trát tường trụ cột ngoài nhà</t>
  </si>
  <si>
    <t>vảy nhám tường bê tông trước khi trát</t>
  </si>
  <si>
    <t>lưới chống nứt ô lưới 10x10</t>
  </si>
  <si>
    <t>trát đắp chi tiết trang trí phức tạp</t>
  </si>
  <si>
    <t>lan can con tiện xi măng đúc sẵn</t>
  </si>
  <si>
    <t>chèn xốp khe nhiệt dày 20mm</t>
  </si>
  <si>
    <t>đổ vữa không co ngót sika 214</t>
  </si>
  <si>
    <t>láng nền sàn phẳng dày 20mm</t>
  </si>
  <si>
    <t>láng nền VXM M75 dày 30</t>
  </si>
  <si>
    <t>láng sê nô rãnh thoát nước</t>
  </si>
  <si>
    <t>láng mái dốc dày 40</t>
  </si>
  <si>
    <t>cán nền trước khi lát gạch</t>
  </si>
  <si>
    <t>chống thấm nền sàn ban công logia WC</t>
  </si>
  <si>
    <t>chống thấm mái bằng sân thượng sê nô</t>
  </si>
  <si>
    <t>chống thấm bể nước PCCC</t>
  </si>
  <si>
    <t>chống thấm ngạch cửa len cửa</t>
  </si>
  <si>
    <t>chống thấm cổ ống thu nước wc</t>
  </si>
  <si>
    <t>chống thấm cổ ống D110</t>
  </si>
  <si>
    <t>chống thấm hố pit thang máy mặt trong</t>
  </si>
  <si>
    <t>chống thấm khe mặt đứng 100x20</t>
  </si>
  <si>
    <t>xử lý bề mặt bê tông cũ mới bằng sika latex</t>
  </si>
  <si>
    <t>băng cản nước V20</t>
  </si>
  <si>
    <t>thanh trương nở Hyperstop</t>
  </si>
  <si>
    <t>lát nền sàn gạch ceramic granite</t>
  </si>
  <si>
    <t>ốp tường trụ cột bằng gạch ceramic</t>
  </si>
  <si>
    <t>ốp theo hoa văn phức tạp</t>
  </si>
  <si>
    <t>lát bậc tam cấp cầu thang gạch</t>
  </si>
  <si>
    <t>lát ốp gạch mosaic bể bơi</t>
  </si>
  <si>
    <t>công tác gia công cắt gạch để ốp lát</t>
  </si>
  <si>
    <t>thi công lợp mái ngói secoin</t>
  </si>
  <si>
    <t>lợp mái ngói âm dương kiểu hàn quốc</t>
  </si>
  <si>
    <t>lợp ngói đất nung địa trung hải</t>
  </si>
  <si>
    <t>ngói inari phụ kiện đồng bộ</t>
  </si>
  <si>
    <t>lắp đặt hệ lito cầu phong thép hộp</t>
  </si>
  <si>
    <t>máng xối tôn mạ kẽm khổ 300</t>
  </si>
  <si>
    <t>kẹp ngói inox 304</t>
  </si>
  <si>
    <t>thi công khe nhiệt tường rào rộng 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</si>
</sst>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.VnTime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4" fillId="0" borderId="0"/>
    <xf numFmtId="0" fontId="7" fillId="0" borderId="0"/>
    <xf numFmtId="0" fontId="2" fillId="0" borderId="0"/>
  </cellStyleXfs>
  <cellXfs count="22">
    <xf numFmtId="0" fontId="0" fillId="0" borderId="0" xfId="0"/>
    <xf numFmtId="0" fontId="3" fillId="0" borderId="0" xfId="3" applyFont="1" applyAlignment="1">
      <alignment horizontal="left" vertical="center"/>
    </xf>
    <xf numFmtId="0" fontId="5" fillId="0" borderId="0" xfId="4" applyFont="1" applyAlignment="1">
      <alignment horizontal="left" vertical="center" wrapText="1"/>
    </xf>
    <xf numFmtId="0" fontId="5" fillId="0" borderId="0" xfId="4" applyFont="1" applyAlignment="1">
      <alignment horizontal="left" vertical="center"/>
    </xf>
    <xf numFmtId="43" fontId="5" fillId="0" borderId="0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 wrapText="1"/>
    </xf>
    <xf numFmtId="164" fontId="6" fillId="0" borderId="2" xfId="2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4" quotePrefix="1" applyFont="1" applyBorder="1" applyAlignment="1">
      <alignment horizontal="center" vertical="center" wrapText="1"/>
    </xf>
    <xf numFmtId="0" fontId="3" fillId="0" borderId="1" xfId="5" applyFont="1" applyBorder="1" applyAlignment="1">
      <alignment vertical="center" wrapText="1"/>
    </xf>
    <xf numFmtId="0" fontId="5" fillId="0" borderId="1" xfId="4" applyFont="1" applyBorder="1" applyAlignment="1">
      <alignment horizontal="left" vertical="center" wrapText="1"/>
    </xf>
    <xf numFmtId="0" fontId="5" fillId="0" borderId="1" xfId="4" applyFont="1" applyBorder="1" applyAlignment="1" applyProtection="1">
      <alignment horizontal="left" vertical="center" wrapText="1"/>
      <protection locked="0"/>
    </xf>
    <xf numFmtId="0" fontId="5" fillId="0" borderId="1" xfId="4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 wrapText="1"/>
    </xf>
    <xf numFmtId="0" fontId="5" fillId="0" borderId="1" xfId="4" applyFont="1" applyBorder="1" applyAlignment="1">
      <alignment vertical="center"/>
    </xf>
    <xf numFmtId="0" fontId="5" fillId="0" borderId="1" xfId="6" quotePrefix="1" applyFont="1" applyBorder="1" applyAlignment="1" applyProtection="1">
      <alignment horizontal="center" vertical="center" wrapText="1"/>
      <protection locked="0"/>
    </xf>
    <xf numFmtId="0" fontId="5" fillId="0" borderId="1" xfId="6" quotePrefix="1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>
      <alignment horizontal="center" vertical="center"/>
    </xf>
    <xf numFmtId="0" fontId="5" fillId="0" borderId="1" xfId="5" applyFont="1" applyBorder="1" applyAlignment="1">
      <alignment vertical="center" wrapText="1"/>
    </xf>
    <xf numFmtId="0" fontId="5" fillId="0" borderId="1" xfId="5" quotePrefix="1" applyFont="1" applyBorder="1" applyAlignment="1">
      <alignment horizontal="left" vertical="center" wrapText="1"/>
    </xf>
  </cellXfs>
  <cellStyles count="7">
    <cellStyle name="Comma" xfId="1" builtinId="3"/>
    <cellStyle name="Comma [0]" xfId="2" builtinId="6"/>
    <cellStyle name="Normal" xfId="0" builtinId="0"/>
    <cellStyle name="Normal - Style1 2 2" xfId="3" xr:uid="{67153D08-1CDE-3342-B602-9D56B351223E}"/>
    <cellStyle name="Normal - Style1 2 4" xfId="6" xr:uid="{4A61C3E0-10A7-774C-B6A6-AEBB7B30BFE9}"/>
    <cellStyle name="Normal 10" xfId="4" xr:uid="{1C7E3119-2A5B-2F45-9091-CE20113BED10}"/>
    <cellStyle name="Normal_DUTOAN_VnTime1_ver2" xfId="5" xr:uid="{04CC0456-3A48-6541-A88F-33EC3728DC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cuments/Projects/AI/find-price/output/Small-TDT_260416_VC&#272;K%20Thi%20co&#770;ng%20ca&#777;i%20ta&#803;o%20Capex.XLSX" TargetMode="External"/><Relationship Id="rId1" Type="http://schemas.openxmlformats.org/officeDocument/2006/relationships/externalLinkPath" Target="Small-TDT_260416_VC&#272;K%20Thi%20co&#770;ng%20ca&#777;i%20ta&#803;o%20Cap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Q.XD"/>
      <sheetName val="DGKL (3)"/>
      <sheetName val="1. Yêu cầu chung"/>
      <sheetName val="2. Tiến độ"/>
      <sheetName val="3. BOQ tổng"/>
      <sheetName val="Thạch cao, sơn bả"/>
      <sheetName val="VSCN"/>
      <sheetName val="Sheet9"/>
      <sheetName val="Sheet8"/>
      <sheetName val="DGKL1"/>
      <sheetName val="4.Do boc KL-Mới"/>
      <sheetName val="5.CPC"/>
      <sheetName val="6. YC về giá chào"/>
      <sheetName val="THKL-02"/>
      <sheetName val="THKL-03"/>
      <sheetName val="Sheet5"/>
      <sheetName val="Sheet6"/>
      <sheetName val="Sheet7"/>
      <sheetName val="DGKL (2)"/>
      <sheetName val="Sheet1"/>
      <sheetName val="Sheet2"/>
      <sheetName val="Sheet4"/>
      <sheetName val="Sheet3"/>
      <sheetName val="DGKL"/>
      <sheetName val="THÉP1 "/>
      <sheetName val="THÉP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3">
          <cell r="J33">
            <v>1044</v>
          </cell>
        </row>
        <row r="41">
          <cell r="J41">
            <v>232</v>
          </cell>
        </row>
        <row r="48">
          <cell r="J48">
            <v>18</v>
          </cell>
        </row>
        <row r="49">
          <cell r="J49">
            <v>324</v>
          </cell>
        </row>
        <row r="52">
          <cell r="J52">
            <v>1044</v>
          </cell>
        </row>
        <row r="53">
          <cell r="J53">
            <v>1395</v>
          </cell>
        </row>
      </sheetData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CBDD-7E2E-8C4F-8469-CC623D9034FD}">
  <dimension ref="A1:I15"/>
  <sheetViews>
    <sheetView workbookViewId="0">
      <selection sqref="A1:XFD1048576"/>
    </sheetView>
  </sheetViews>
  <sheetFormatPr baseColWidth="10" defaultRowHeight="16"/>
  <sheetData>
    <row r="1" spans="1:9">
      <c r="A1" s="1" t="s">
        <v>0</v>
      </c>
      <c r="B1" s="1"/>
      <c r="C1" s="2"/>
      <c r="D1" s="2"/>
      <c r="E1" s="3"/>
      <c r="F1" s="4"/>
      <c r="G1" s="4"/>
      <c r="H1" s="4"/>
      <c r="I1" s="3"/>
    </row>
    <row r="2" spans="1:9">
      <c r="A2" s="1" t="s">
        <v>1</v>
      </c>
      <c r="B2" s="1" t="s">
        <v>2</v>
      </c>
      <c r="C2" s="2"/>
      <c r="D2" s="2"/>
      <c r="E2" s="3"/>
      <c r="F2" s="4"/>
      <c r="G2" s="4"/>
      <c r="H2" s="4"/>
      <c r="I2" s="3"/>
    </row>
    <row r="3" spans="1:9">
      <c r="A3" s="5" t="s">
        <v>3</v>
      </c>
      <c r="B3" s="5" t="s">
        <v>4</v>
      </c>
      <c r="C3" s="2"/>
      <c r="D3" s="2"/>
      <c r="E3" s="3"/>
      <c r="F3" s="4"/>
      <c r="G3" s="4"/>
      <c r="H3" s="4"/>
      <c r="I3" s="3"/>
    </row>
    <row r="4" spans="1:9">
      <c r="A4" s="5"/>
      <c r="B4" s="5"/>
      <c r="C4" s="2"/>
      <c r="D4" s="2"/>
      <c r="E4" s="3"/>
      <c r="F4" s="4"/>
      <c r="G4" s="4"/>
      <c r="H4" s="4"/>
      <c r="I4" s="3"/>
    </row>
    <row r="5" spans="1:9">
      <c r="A5" s="5"/>
      <c r="B5" s="5"/>
      <c r="C5" s="2"/>
      <c r="D5" s="2"/>
      <c r="E5" s="3"/>
      <c r="F5" s="4"/>
      <c r="G5" s="4"/>
      <c r="H5" s="4"/>
      <c r="I5" s="3"/>
    </row>
    <row r="6" spans="1:9" ht="34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8" t="s">
        <v>11</v>
      </c>
      <c r="H6" s="8" t="s">
        <v>12</v>
      </c>
      <c r="I6" s="9" t="s">
        <v>13</v>
      </c>
    </row>
    <row r="7" spans="1:9" ht="34">
      <c r="A7" s="10"/>
      <c r="B7" s="11" t="s">
        <v>14</v>
      </c>
      <c r="C7" s="12"/>
      <c r="D7" s="13"/>
      <c r="E7" s="14"/>
      <c r="F7" s="15"/>
      <c r="G7" s="15"/>
      <c r="H7" s="15"/>
      <c r="I7" s="16"/>
    </row>
    <row r="8" spans="1:9" ht="409.6">
      <c r="A8" s="17">
        <v>4</v>
      </c>
      <c r="B8" s="18" t="s">
        <v>15</v>
      </c>
      <c r="C8" s="18" t="s">
        <v>16</v>
      </c>
      <c r="D8" s="18"/>
      <c r="E8" s="19" t="s">
        <v>17</v>
      </c>
      <c r="F8" s="15">
        <f>[1]DGKL!J33</f>
        <v>1044</v>
      </c>
      <c r="G8" s="15"/>
      <c r="H8" s="15"/>
      <c r="I8" s="16"/>
    </row>
    <row r="9" spans="1:9" ht="409.6">
      <c r="A9" s="17">
        <v>4</v>
      </c>
      <c r="B9" s="18" t="s">
        <v>18</v>
      </c>
      <c r="C9" s="18" t="s">
        <v>19</v>
      </c>
      <c r="D9" s="18"/>
      <c r="E9" s="19" t="s">
        <v>17</v>
      </c>
      <c r="F9" s="15">
        <f>[1]DGKL!J33</f>
        <v>1044</v>
      </c>
      <c r="G9" s="15"/>
      <c r="H9" s="15"/>
      <c r="I9" s="16"/>
    </row>
    <row r="10" spans="1:9" ht="153">
      <c r="A10" s="17">
        <v>4</v>
      </c>
      <c r="B10" s="18" t="s">
        <v>20</v>
      </c>
      <c r="C10" s="18" t="s">
        <v>21</v>
      </c>
      <c r="D10" s="18"/>
      <c r="E10" s="19" t="s">
        <v>22</v>
      </c>
      <c r="F10" s="15">
        <f>[1]DGKL!J41</f>
        <v>232</v>
      </c>
      <c r="G10" s="15"/>
      <c r="H10" s="15"/>
      <c r="I10" s="16"/>
    </row>
    <row r="11" spans="1:9" ht="68">
      <c r="A11" s="17">
        <v>4</v>
      </c>
      <c r="B11" s="20" t="s">
        <v>23</v>
      </c>
      <c r="C11" s="21" t="s">
        <v>24</v>
      </c>
      <c r="D11" s="18"/>
      <c r="E11" s="19" t="s">
        <v>17</v>
      </c>
      <c r="F11" s="15">
        <f>[1]DGKL!J48</f>
        <v>18</v>
      </c>
      <c r="G11" s="15"/>
      <c r="H11" s="15"/>
      <c r="I11" s="16"/>
    </row>
    <row r="12" spans="1:9" ht="409.6">
      <c r="A12" s="17">
        <v>4</v>
      </c>
      <c r="B12" s="18" t="s">
        <v>25</v>
      </c>
      <c r="C12" s="18" t="s">
        <v>26</v>
      </c>
      <c r="D12" s="17"/>
      <c r="E12" s="19" t="s">
        <v>17</v>
      </c>
      <c r="F12" s="15">
        <f>[1]DGKL!J49</f>
        <v>324</v>
      </c>
      <c r="G12" s="15"/>
      <c r="H12" s="15"/>
      <c r="I12" s="16"/>
    </row>
    <row r="13" spans="1:9">
      <c r="A13" s="17">
        <v>4</v>
      </c>
      <c r="B13" s="18"/>
      <c r="C13" s="18"/>
      <c r="D13" s="17"/>
      <c r="E13" s="19" t="s">
        <v>17</v>
      </c>
      <c r="F13" s="15"/>
      <c r="G13" s="15"/>
      <c r="H13" s="15"/>
      <c r="I13" s="16"/>
    </row>
    <row r="14" spans="1:9" ht="409.6">
      <c r="A14" s="17">
        <v>4</v>
      </c>
      <c r="B14" s="18" t="s">
        <v>27</v>
      </c>
      <c r="C14" s="18" t="s">
        <v>28</v>
      </c>
      <c r="D14" s="17"/>
      <c r="E14" s="19" t="s">
        <v>17</v>
      </c>
      <c r="F14" s="15">
        <f>[1]DGKL!J52</f>
        <v>1044</v>
      </c>
      <c r="G14" s="15"/>
      <c r="H14" s="15"/>
      <c r="I14" s="16"/>
    </row>
    <row r="15" spans="1:9" ht="323">
      <c r="A15" s="17">
        <v>4</v>
      </c>
      <c r="B15" s="18" t="s">
        <v>29</v>
      </c>
      <c r="C15" s="18" t="s">
        <v>30</v>
      </c>
      <c r="D15" s="17"/>
      <c r="E15" s="19" t="s">
        <v>17</v>
      </c>
      <c r="F15" s="15">
        <f>[1]DGKL!J53</f>
        <v>1395</v>
      </c>
      <c r="G15" s="15"/>
      <c r="H15" s="15"/>
      <c r="I1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E024-0A47-1744-830B-61E752A44005}">
  <dimension ref="A1:I98"/>
  <sheetViews>
    <sheetView tabSelected="1" topLeftCell="A84" workbookViewId="0">
      <selection activeCell="B98" sqref="B17:C98"/>
    </sheetView>
  </sheetViews>
  <sheetFormatPr baseColWidth="10" defaultRowHeight="16"/>
  <sheetData>
    <row r="1" spans="1:9">
      <c r="A1" s="1" t="s">
        <v>0</v>
      </c>
      <c r="B1" s="1"/>
      <c r="C1" s="2"/>
      <c r="D1" s="2"/>
      <c r="E1" s="3"/>
      <c r="F1" s="4"/>
      <c r="G1" s="4"/>
      <c r="H1" s="4"/>
      <c r="I1" s="3"/>
    </row>
    <row r="2" spans="1:9">
      <c r="A2" s="1" t="s">
        <v>1</v>
      </c>
      <c r="B2" s="1" t="s">
        <v>2</v>
      </c>
      <c r="C2" s="2"/>
      <c r="D2" s="2"/>
      <c r="E2" s="3"/>
      <c r="F2" s="4"/>
      <c r="G2" s="4"/>
      <c r="H2" s="4"/>
      <c r="I2" s="3"/>
    </row>
    <row r="3" spans="1:9">
      <c r="A3" s="5" t="s">
        <v>3</v>
      </c>
      <c r="B3" s="5" t="s">
        <v>4</v>
      </c>
      <c r="C3" s="2"/>
      <c r="D3" s="2"/>
      <c r="E3" s="3"/>
      <c r="F3" s="4"/>
      <c r="G3" s="4"/>
      <c r="H3" s="4"/>
      <c r="I3" s="3"/>
    </row>
    <row r="4" spans="1:9">
      <c r="A4" s="5"/>
      <c r="B4" s="5"/>
      <c r="C4" s="2"/>
      <c r="D4" s="2"/>
      <c r="E4" s="3"/>
      <c r="F4" s="4"/>
      <c r="G4" s="4"/>
      <c r="H4" s="4"/>
      <c r="I4" s="3"/>
    </row>
    <row r="5" spans="1:9">
      <c r="A5" s="5"/>
      <c r="B5" s="5"/>
      <c r="C5" s="2"/>
      <c r="D5" s="2"/>
      <c r="E5" s="3"/>
      <c r="F5" s="4"/>
      <c r="G5" s="4"/>
      <c r="H5" s="4"/>
      <c r="I5" s="3"/>
    </row>
    <row r="6" spans="1:9" ht="34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8" t="s">
        <v>11</v>
      </c>
      <c r="H6" s="8" t="s">
        <v>12</v>
      </c>
      <c r="I6" s="9" t="s">
        <v>13</v>
      </c>
    </row>
    <row r="7" spans="1:9" ht="34">
      <c r="A7" s="10"/>
      <c r="B7" s="11" t="s">
        <v>14</v>
      </c>
      <c r="C7" s="12"/>
      <c r="D7" s="13"/>
      <c r="E7" s="14"/>
      <c r="F7" s="15"/>
      <c r="G7" s="15"/>
      <c r="H7" s="15"/>
      <c r="I7" s="16"/>
    </row>
    <row r="8" spans="1:9" ht="68">
      <c r="A8" s="10">
        <v>3</v>
      </c>
      <c r="B8" s="11" t="s">
        <v>31</v>
      </c>
      <c r="C8" s="12"/>
      <c r="D8" s="13"/>
      <c r="E8" s="14"/>
      <c r="F8" s="15"/>
      <c r="G8" s="15"/>
      <c r="H8" s="15"/>
      <c r="I8" s="16"/>
    </row>
    <row r="9" spans="1:9" ht="409.6">
      <c r="A9" s="17">
        <v>4</v>
      </c>
      <c r="B9" t="s">
        <v>32</v>
      </c>
      <c r="C9" s="18" t="s">
        <v>16</v>
      </c>
      <c r="D9" s="18"/>
      <c r="E9" s="19" t="s">
        <v>17</v>
      </c>
      <c r="F9" s="15">
        <f>[1]DGKL!J33</f>
        <v>1044</v>
      </c>
      <c r="G9" s="15"/>
      <c r="H9" s="15"/>
      <c r="I9" s="16"/>
    </row>
    <row r="10" spans="1:9" ht="409.6">
      <c r="A10" s="17">
        <v>4</v>
      </c>
      <c r="B10" t="s">
        <v>33</v>
      </c>
      <c r="C10" s="18" t="s">
        <v>19</v>
      </c>
      <c r="D10" s="18"/>
      <c r="E10" s="19" t="s">
        <v>17</v>
      </c>
      <c r="F10" s="15">
        <f>[1]DGKL!J33</f>
        <v>1044</v>
      </c>
      <c r="G10" s="15"/>
      <c r="H10" s="15"/>
      <c r="I10" s="16"/>
    </row>
    <row r="11" spans="1:9" ht="153">
      <c r="A11" s="17">
        <v>4</v>
      </c>
      <c r="B11" t="s">
        <v>34</v>
      </c>
      <c r="C11" s="18" t="s">
        <v>21</v>
      </c>
      <c r="D11" s="18"/>
      <c r="E11" s="19" t="s">
        <v>22</v>
      </c>
      <c r="F11" s="15">
        <f>[1]DGKL!J41</f>
        <v>232</v>
      </c>
      <c r="G11" s="15"/>
      <c r="H11" s="15"/>
      <c r="I11" s="16"/>
    </row>
    <row r="12" spans="1:9" ht="68">
      <c r="A12" s="17">
        <v>4</v>
      </c>
      <c r="B12" t="s">
        <v>35</v>
      </c>
      <c r="C12" s="21" t="s">
        <v>24</v>
      </c>
      <c r="D12" s="18"/>
      <c r="E12" s="19" t="s">
        <v>17</v>
      </c>
      <c r="F12" s="15">
        <f>[1]DGKL!J48</f>
        <v>18</v>
      </c>
      <c r="G12" s="15"/>
      <c r="H12" s="15"/>
      <c r="I12" s="16"/>
    </row>
    <row r="13" spans="1:9" ht="409.6">
      <c r="A13" s="17">
        <v>4</v>
      </c>
      <c r="B13" t="s">
        <v>36</v>
      </c>
      <c r="C13" s="18" t="s">
        <v>26</v>
      </c>
      <c r="D13" s="17"/>
      <c r="E13" s="19" t="s">
        <v>17</v>
      </c>
      <c r="F13" s="15">
        <f>[1]DGKL!J49</f>
        <v>324</v>
      </c>
      <c r="G13" s="15"/>
      <c r="H13" s="15"/>
      <c r="I13" s="16"/>
    </row>
    <row r="14" spans="1:9">
      <c r="A14" s="17">
        <v>4</v>
      </c>
      <c r="B14" t="s">
        <v>37</v>
      </c>
      <c r="C14" s="18"/>
      <c r="D14" s="17"/>
      <c r="E14" s="19" t="s">
        <v>17</v>
      </c>
      <c r="F14" s="15"/>
      <c r="G14" s="15"/>
      <c r="H14" s="15"/>
      <c r="I14" s="16"/>
    </row>
    <row r="15" spans="1:9" ht="409.6">
      <c r="A15" s="17">
        <v>4</v>
      </c>
      <c r="B15" t="s">
        <v>38</v>
      </c>
      <c r="C15" s="18" t="s">
        <v>28</v>
      </c>
      <c r="D15" s="17"/>
      <c r="E15" s="19" t="s">
        <v>17</v>
      </c>
      <c r="F15" s="15">
        <f>[1]DGKL!J52</f>
        <v>1044</v>
      </c>
      <c r="G15" s="15"/>
      <c r="H15" s="15"/>
      <c r="I15" s="16"/>
    </row>
    <row r="16" spans="1:9" ht="323">
      <c r="A16" s="17">
        <v>4</v>
      </c>
      <c r="B16" t="s">
        <v>39</v>
      </c>
      <c r="C16" s="18" t="s">
        <v>30</v>
      </c>
      <c r="D16" s="17"/>
      <c r="E16" s="19" t="s">
        <v>17</v>
      </c>
      <c r="F16" s="15">
        <f>[1]DGKL!J53</f>
        <v>1395</v>
      </c>
      <c r="G16" s="15"/>
      <c r="H16" s="15"/>
      <c r="I16" s="16"/>
    </row>
    <row r="17" spans="2:2">
      <c r="B17" t="s">
        <v>40</v>
      </c>
    </row>
    <row r="18" spans="2:2">
      <c r="B18" t="s">
        <v>41</v>
      </c>
    </row>
    <row r="19" spans="2:2">
      <c r="B19" t="s">
        <v>42</v>
      </c>
    </row>
    <row r="20" spans="2:2">
      <c r="B20" t="s">
        <v>43</v>
      </c>
    </row>
    <row r="21" spans="2:2">
      <c r="B21" t="s">
        <v>44</v>
      </c>
    </row>
    <row r="22" spans="2:2">
      <c r="B22" t="s">
        <v>45</v>
      </c>
    </row>
    <row r="23" spans="2:2">
      <c r="B23" t="s">
        <v>46</v>
      </c>
    </row>
    <row r="24" spans="2:2">
      <c r="B24" t="s">
        <v>47</v>
      </c>
    </row>
    <row r="25" spans="2:2">
      <c r="B25" t="s">
        <v>48</v>
      </c>
    </row>
    <row r="26" spans="2:2">
      <c r="B26" t="s">
        <v>49</v>
      </c>
    </row>
    <row r="27" spans="2:2">
      <c r="B27" t="s">
        <v>50</v>
      </c>
    </row>
    <row r="28" spans="2:2">
      <c r="B28" t="s">
        <v>51</v>
      </c>
    </row>
    <row r="29" spans="2:2">
      <c r="B29" t="s">
        <v>52</v>
      </c>
    </row>
    <row r="30" spans="2:2">
      <c r="B30" t="s">
        <v>53</v>
      </c>
    </row>
    <row r="31" spans="2:2">
      <c r="B31" t="s">
        <v>54</v>
      </c>
    </row>
    <row r="32" spans="2:2">
      <c r="B32" t="s">
        <v>55</v>
      </c>
    </row>
    <row r="33" spans="2:2">
      <c r="B33" t="s">
        <v>56</v>
      </c>
    </row>
    <row r="34" spans="2:2">
      <c r="B34" t="s">
        <v>57</v>
      </c>
    </row>
    <row r="35" spans="2:2">
      <c r="B35" t="s">
        <v>58</v>
      </c>
    </row>
    <row r="36" spans="2:2">
      <c r="B36" t="s">
        <v>59</v>
      </c>
    </row>
    <row r="37" spans="2:2">
      <c r="B37" t="s">
        <v>60</v>
      </c>
    </row>
    <row r="38" spans="2:2">
      <c r="B38" t="s">
        <v>61</v>
      </c>
    </row>
    <row r="39" spans="2:2">
      <c r="B39" t="s">
        <v>62</v>
      </c>
    </row>
    <row r="40" spans="2:2">
      <c r="B40" t="s">
        <v>63</v>
      </c>
    </row>
    <row r="41" spans="2:2">
      <c r="B41" t="s">
        <v>64</v>
      </c>
    </row>
    <row r="42" spans="2:2">
      <c r="B42" t="s">
        <v>65</v>
      </c>
    </row>
    <row r="43" spans="2:2">
      <c r="B43" t="s">
        <v>66</v>
      </c>
    </row>
    <row r="44" spans="2:2">
      <c r="B44" t="s">
        <v>67</v>
      </c>
    </row>
    <row r="45" spans="2:2">
      <c r="B45" t="s">
        <v>68</v>
      </c>
    </row>
    <row r="46" spans="2:2">
      <c r="B46" t="s">
        <v>69</v>
      </c>
    </row>
    <row r="47" spans="2:2">
      <c r="B47" t="s">
        <v>70</v>
      </c>
    </row>
    <row r="48" spans="2:2">
      <c r="B48" t="s">
        <v>71</v>
      </c>
    </row>
    <row r="49" spans="2:2">
      <c r="B49" t="s">
        <v>72</v>
      </c>
    </row>
    <row r="50" spans="2:2">
      <c r="B50" t="s">
        <v>73</v>
      </c>
    </row>
    <row r="51" spans="2:2">
      <c r="B51" t="s">
        <v>74</v>
      </c>
    </row>
    <row r="52" spans="2:2">
      <c r="B52" t="s">
        <v>75</v>
      </c>
    </row>
    <row r="53" spans="2:2">
      <c r="B53" t="s">
        <v>76</v>
      </c>
    </row>
    <row r="54" spans="2:2">
      <c r="B54" t="s">
        <v>77</v>
      </c>
    </row>
    <row r="55" spans="2:2">
      <c r="B55" t="s">
        <v>78</v>
      </c>
    </row>
    <row r="56" spans="2:2">
      <c r="B56" t="s">
        <v>79</v>
      </c>
    </row>
    <row r="57" spans="2:2">
      <c r="B57" t="s">
        <v>80</v>
      </c>
    </row>
    <row r="58" spans="2:2">
      <c r="B58" t="s">
        <v>81</v>
      </c>
    </row>
    <row r="59" spans="2:2">
      <c r="B59" t="s">
        <v>82</v>
      </c>
    </row>
    <row r="60" spans="2:2">
      <c r="B60" t="s">
        <v>83</v>
      </c>
    </row>
    <row r="61" spans="2:2">
      <c r="B61" t="s">
        <v>84</v>
      </c>
    </row>
    <row r="62" spans="2:2">
      <c r="B62" t="s">
        <v>85</v>
      </c>
    </row>
    <row r="63" spans="2:2">
      <c r="B63" t="s">
        <v>86</v>
      </c>
    </row>
    <row r="64" spans="2:2">
      <c r="B64" t="s">
        <v>87</v>
      </c>
    </row>
    <row r="65" spans="2:2">
      <c r="B65" t="s">
        <v>88</v>
      </c>
    </row>
    <row r="66" spans="2:2">
      <c r="B66" t="s">
        <v>89</v>
      </c>
    </row>
    <row r="67" spans="2:2">
      <c r="B67" t="s">
        <v>90</v>
      </c>
    </row>
    <row r="68" spans="2:2">
      <c r="B68" t="s">
        <v>91</v>
      </c>
    </row>
    <row r="69" spans="2:2">
      <c r="B69" t="s">
        <v>92</v>
      </c>
    </row>
    <row r="70" spans="2:2">
      <c r="B70" t="s">
        <v>93</v>
      </c>
    </row>
    <row r="71" spans="2:2">
      <c r="B71" t="s">
        <v>94</v>
      </c>
    </row>
    <row r="72" spans="2:2">
      <c r="B72" t="s">
        <v>95</v>
      </c>
    </row>
    <row r="73" spans="2:2">
      <c r="B73" t="s">
        <v>96</v>
      </c>
    </row>
    <row r="74" spans="2:2">
      <c r="B74" t="s">
        <v>97</v>
      </c>
    </row>
    <row r="75" spans="2:2">
      <c r="B75" t="s">
        <v>98</v>
      </c>
    </row>
    <row r="76" spans="2:2">
      <c r="B76" t="s">
        <v>99</v>
      </c>
    </row>
    <row r="77" spans="2:2">
      <c r="B77" t="s">
        <v>100</v>
      </c>
    </row>
    <row r="78" spans="2:2">
      <c r="B78" t="s">
        <v>101</v>
      </c>
    </row>
    <row r="79" spans="2:2">
      <c r="B79" t="s">
        <v>102</v>
      </c>
    </row>
    <row r="80" spans="2:2">
      <c r="B80" t="s">
        <v>103</v>
      </c>
    </row>
    <row r="81" spans="2:2">
      <c r="B81" t="s">
        <v>104</v>
      </c>
    </row>
    <row r="82" spans="2:2">
      <c r="B82" t="s">
        <v>105</v>
      </c>
    </row>
    <row r="83" spans="2:2">
      <c r="B83" t="s">
        <v>106</v>
      </c>
    </row>
    <row r="84" spans="2:2">
      <c r="B84" t="s">
        <v>107</v>
      </c>
    </row>
    <row r="85" spans="2:2">
      <c r="B85" t="s">
        <v>108</v>
      </c>
    </row>
    <row r="86" spans="2:2">
      <c r="B86" t="s">
        <v>109</v>
      </c>
    </row>
    <row r="87" spans="2:2">
      <c r="B87" t="s">
        <v>110</v>
      </c>
    </row>
    <row r="88" spans="2:2">
      <c r="B88" t="s">
        <v>111</v>
      </c>
    </row>
    <row r="89" spans="2:2">
      <c r="B89" t="s">
        <v>112</v>
      </c>
    </row>
    <row r="90" spans="2:2">
      <c r="B90" t="s">
        <v>113</v>
      </c>
    </row>
    <row r="91" spans="2:2">
      <c r="B91" t="s">
        <v>114</v>
      </c>
    </row>
    <row r="92" spans="2:2">
      <c r="B92" t="s">
        <v>115</v>
      </c>
    </row>
    <row r="93" spans="2:2">
      <c r="B93" t="s">
        <v>116</v>
      </c>
    </row>
    <row r="94" spans="2:2">
      <c r="B94" t="s">
        <v>117</v>
      </c>
    </row>
    <row r="95" spans="2:2">
      <c r="B95" t="s">
        <v>118</v>
      </c>
    </row>
    <row r="96" spans="2:2">
      <c r="B96" t="s">
        <v>119</v>
      </c>
    </row>
    <row r="97" spans="2:2">
      <c r="B97" t="s">
        <v>120</v>
      </c>
    </row>
    <row r="98" spans="2:2">
      <c r="B9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 Nguyen</dc:creator>
  <cp:lastModifiedBy>Helen  Nguyen</cp:lastModifiedBy>
  <dcterms:created xsi:type="dcterms:W3CDTF">2026-04-26T14:56:30Z</dcterms:created>
  <dcterms:modified xsi:type="dcterms:W3CDTF">2026-04-26T16:17:16Z</dcterms:modified>
</cp:coreProperties>
</file>