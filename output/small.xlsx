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Projects/AI/find-price/output/"/>
    </mc:Choice>
  </mc:AlternateContent>
  <xr:revisionPtr revIDLastSave="0" documentId="8_{BA2902EA-9AEA-524A-A8FE-A7DBE5FF5523}" xr6:coauthVersionLast="47" xr6:coauthVersionMax="47" xr10:uidLastSave="{00000000-0000-0000-0000-000000000000}"/>
  <bookViews>
    <workbookView xWindow="3500" yWindow="3820" windowWidth="25640" windowHeight="14440" xr2:uid="{F2CA0B74-71ED-EA4D-A14D-BFD29DF0BB1C}"/>
  </bookViews>
  <sheets>
    <sheet name="Sheet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<sst xmlns="http://schemas.openxmlformats.org/spreadsheetml/2006/main" count="37" uniqueCount="31">
  <si>
    <t>BẢNG TIÊN LƯỢNG MỜI THẦU (BOQ)</t>
  </si>
  <si>
    <t>Dự án:</t>
  </si>
  <si>
    <t>Cải tạo Vincom Đồng Khởi</t>
  </si>
  <si>
    <t xml:space="preserve">Gói thầu: </t>
  </si>
  <si>
    <t>Thi công trần thạch cao, sơn bả</t>
  </si>
  <si>
    <t>Stt</t>
  </si>
  <si>
    <t>Nội dung công việc</t>
  </si>
  <si>
    <t>Quy cách kỹ thuật</t>
  </si>
  <si>
    <t>Yêu cầu khác</t>
  </si>
  <si>
    <t>Đơn vị tính</t>
  </si>
  <si>
    <t>Khối lượng</t>
  </si>
  <si>
    <t>Đơn giá</t>
  </si>
  <si>
    <t>Thành tiền</t>
  </si>
  <si>
    <t>Ghi chú</t>
  </si>
  <si>
    <t>Công tác cải tạo</t>
  </si>
  <si>
    <t>Trần thạch cao xương chìm</t>
  </si>
  <si>
    <t>Hãng SX: Vĩnh tường/Zinca hoặc tương đương.
- Tấm thạch cao tiêu chuẩn dày 12.5mm
- Hệ xương chính: tôn mạ kẽm dày 0.72mm ± 0.02, a900
- Hệ xương phụ: tôn mạ kẽm,, độ dày 0.40mm ± 0.02, a400
- Thanh Viền 18/22 dày 0.40mm ± 0.02
- Tyren inox D6 cách đều a900
- Dán băng keo lưới tại các mối nối</t>
  </si>
  <si>
    <t>m2</t>
  </si>
  <si>
    <t>Gia cường hệ khung xương trần tại vị trí bổ sung FCU</t>
  </si>
  <si>
    <t>Hãng SX: Vĩnh tường/Zinca hoặc tương đương.
- Tăng cường khoảng cách hệ xương chính: tôn mạ kẽm dày 0.72mm ± 0.02, khoảng cách @700 để liên kết trần nhôm
- Tăng cường khoảng cách hệ xương phụ: tôn mạ kẽm,, độ dày 0.40mm ± 0.02, khoảng cách @300 để liên kết hệ trần nhôm</t>
  </si>
  <si>
    <t>Hệ cửa thăm trần thạch cao</t>
  </si>
  <si>
    <t>Tấm tiêu chuẩn 600x600x9mm tiêu chuẩn
Boral/Gyproc/ Zinca hoặc tương đương</t>
  </si>
  <si>
    <t>cái</t>
  </si>
  <si>
    <t>Lắp đặt trần nhôm</t>
  </si>
  <si>
    <t>Vật tư tận dụng
Vật tư phụ NT cấp</t>
  </si>
  <si>
    <t>Trần thạch cao khung xương nổi</t>
  </si>
  <si>
    <t>- Trần thạch cao khung xương nổi 600x600
- Tấm chuẩn dày 8mm chịu ẩm Vĩnh Tường hoặc tương đương
- Hệ xương chính: tôn mạ kẽm T3660 dày 0.3mm ±0.02, a1200
- Hệ xương phụ: tôn mạ kẽm, T1.220, T610 dày 0.3mm ±0.02, a600
- Thanh Viền tường VT18/22 dày 0.4 ± 0.03
- Tyren inox D4 cách đều a1200</t>
  </si>
  <si>
    <t>Sơn hoàn thiện trần thạch cao</t>
  </si>
  <si>
    <t>- Bả 02 lớp bằng bột bả Jotun/Dulux nội thất hoặc tương đương
- Sơn 1 nước lót, 2 nước phủ, màu theo chỉ định (hoặc tương đương)
- Nhà thầu trình chủng loại, màu sắc sơn cho TVTK duyệt trước khi đặt hàng thi công
- Chi tiết theo BVTK</t>
  </si>
  <si>
    <t>Sơn trần thô hiện trạng</t>
  </si>
  <si>
    <t>- Sơn 1 nước lót, 2 nước phủ, màu theo chỉ định (hoặc tương đương)
- Nhà thầu trình chủng loại, màu sắc sơn cho TVTK duyệt trước khi đặt hàng thi công
- Chi tiết theo BVTK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</si>
</sst>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-* #,##0.00\ _₫_-;\-* #,##0.00\ _₫_-;_-* &quot;-&quot;??\ _₫_-;_-@_-"/>
  </numFmts>
  <fonts count="10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sz val="11"/>
      <color rgb="FF000000"/>
      <name val="Calibri"/>
      <family val="2"/>
    </font>
    <font>
      <sz val="12"/>
      <name val="Times New Roman"/>
      <family val="1"/>
    </font>
    <font>
      <b/>
      <sz val="12"/>
      <color theme="1"/>
      <name val="Times New Roman"/>
      <family val="1"/>
    </font>
    <font>
      <sz val="12"/>
      <name val=".VnTime"/>
      <family val="2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0"/>
    <xf numFmtId="0" fontId="4" fillId="0" borderId="0"/>
    <xf numFmtId="0" fontId="7" fillId="0" borderId="0"/>
    <xf numFmtId="0" fontId="2" fillId="0" borderId="0"/>
  </cellStyleXfs>
  <cellXfs count="22">
    <xf numFmtId="0" fontId="0" fillId="0" borderId="0" xfId="0"/>
    <xf numFmtId="0" fontId="3" fillId="0" borderId="0" xfId="3" applyFont="1" applyAlignment="1">
      <alignment horizontal="left" vertical="center"/>
    </xf>
    <xf numFmtId="0" fontId="5" fillId="0" borderId="0" xfId="4" applyFont="1" applyAlignment="1">
      <alignment horizontal="left" vertical="center" wrapText="1"/>
    </xf>
    <xf numFmtId="0" fontId="5" fillId="0" borderId="0" xfId="4" applyFont="1" applyAlignment="1">
      <alignment horizontal="left" vertical="center"/>
    </xf>
    <xf numFmtId="43" fontId="5" fillId="0" borderId="0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43" fontId="3" fillId="0" borderId="1" xfId="1" applyFont="1" applyBorder="1" applyAlignment="1">
      <alignment horizontal="center" vertical="center" wrapText="1"/>
    </xf>
    <xf numFmtId="43" fontId="3" fillId="0" borderId="2" xfId="1" applyFont="1" applyBorder="1" applyAlignment="1">
      <alignment horizontal="center" vertical="center" wrapText="1"/>
    </xf>
    <xf numFmtId="164" fontId="6" fillId="0" borderId="2" xfId="2" applyNumberFormat="1" applyFont="1" applyFill="1" applyBorder="1" applyAlignment="1" applyProtection="1">
      <alignment horizontal="center" vertical="center" wrapText="1"/>
      <protection locked="0"/>
    </xf>
    <xf numFmtId="0" fontId="5" fillId="0" borderId="1" xfId="4" quotePrefix="1" applyFont="1" applyBorder="1" applyAlignment="1">
      <alignment horizontal="center" vertical="center" wrapText="1"/>
    </xf>
    <xf numFmtId="0" fontId="3" fillId="0" borderId="1" xfId="5" applyFont="1" applyBorder="1" applyAlignment="1">
      <alignment vertical="center" wrapText="1"/>
    </xf>
    <xf numFmtId="0" fontId="5" fillId="0" borderId="1" xfId="4" applyFont="1" applyBorder="1" applyAlignment="1">
      <alignment horizontal="left" vertical="center" wrapText="1"/>
    </xf>
    <xf numFmtId="0" fontId="5" fillId="0" borderId="1" xfId="4" applyFont="1" applyBorder="1" applyAlignment="1" applyProtection="1">
      <alignment horizontal="left" vertical="center" wrapText="1"/>
      <protection locked="0"/>
    </xf>
    <xf numFmtId="0" fontId="5" fillId="0" borderId="1" xfId="4" applyFont="1" applyBorder="1" applyAlignment="1">
      <alignment horizontal="center" vertical="center"/>
    </xf>
    <xf numFmtId="43" fontId="8" fillId="0" borderId="1" xfId="1" applyFont="1" applyBorder="1" applyAlignment="1">
      <alignment horizontal="center" vertical="center" wrapText="1"/>
    </xf>
    <xf numFmtId="0" fontId="5" fillId="0" borderId="1" xfId="4" applyFont="1" applyBorder="1" applyAlignment="1">
      <alignment vertical="center"/>
    </xf>
    <xf numFmtId="0" fontId="5" fillId="0" borderId="1" xfId="6" quotePrefix="1" applyFont="1" applyBorder="1" applyAlignment="1" applyProtection="1">
      <alignment horizontal="center" vertical="center" wrapText="1"/>
      <protection locked="0"/>
    </xf>
    <xf numFmtId="0" fontId="5" fillId="0" borderId="1" xfId="6" quotePrefix="1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>
      <alignment horizontal="center" vertical="center"/>
    </xf>
    <xf numFmtId="0" fontId="5" fillId="0" borderId="1" xfId="5" applyFont="1" applyBorder="1" applyAlignment="1">
      <alignment vertical="center" wrapText="1"/>
    </xf>
    <xf numFmtId="0" fontId="5" fillId="0" borderId="1" xfId="5" quotePrefix="1" applyFont="1" applyBorder="1" applyAlignment="1">
      <alignment horizontal="left" vertical="center" wrapText="1"/>
    </xf>
  </cellXfs>
  <cellStyles count="7">
    <cellStyle name="Comma" xfId="1" builtinId="3"/>
    <cellStyle name="Comma [0]" xfId="2" builtinId="6"/>
    <cellStyle name="Normal" xfId="0" builtinId="0"/>
    <cellStyle name="Normal - Style1 2 2" xfId="3" xr:uid="{67153D08-1CDE-3342-B602-9D56B351223E}"/>
    <cellStyle name="Normal - Style1 2 4" xfId="6" xr:uid="{4A61C3E0-10A7-774C-B6A6-AEBB7B30BFE9}"/>
    <cellStyle name="Normal 10" xfId="4" xr:uid="{1C7E3119-2A5B-2F45-9091-CE20113BED10}"/>
    <cellStyle name="Normal_DUTOAN_VnTime1_ver2" xfId="5" xr:uid="{04CC0456-3A48-6541-A88F-33EC3728DC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min/Documents/Projects/AI/find-price/output/Small-TDT_260416_VC&#272;K%20Thi%20co&#770;ng%20ca&#777;i%20ta&#803;o%20Capex.XLSX" TargetMode="External"/><Relationship Id="rId1" Type="http://schemas.openxmlformats.org/officeDocument/2006/relationships/externalLinkPath" Target="Small-TDT_260416_VC&#272;K%20Thi%20co&#770;ng%20ca&#777;i%20ta&#803;o%20Cap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Q.XD"/>
      <sheetName val="DGKL (3)"/>
      <sheetName val="1. Yêu cầu chung"/>
      <sheetName val="2. Tiến độ"/>
      <sheetName val="3. BOQ tổng"/>
      <sheetName val="Thạch cao, sơn bả"/>
      <sheetName val="VSCN"/>
      <sheetName val="Sheet9"/>
      <sheetName val="Sheet8"/>
      <sheetName val="DGKL1"/>
      <sheetName val="4.Do boc KL-Mới"/>
      <sheetName val="5.CPC"/>
      <sheetName val="6. YC về giá chào"/>
      <sheetName val="THKL-02"/>
      <sheetName val="THKL-03"/>
      <sheetName val="Sheet5"/>
      <sheetName val="Sheet6"/>
      <sheetName val="Sheet7"/>
      <sheetName val="DGKL (2)"/>
      <sheetName val="Sheet1"/>
      <sheetName val="Sheet2"/>
      <sheetName val="Sheet4"/>
      <sheetName val="Sheet3"/>
      <sheetName val="DGKL"/>
      <sheetName val="THÉP1 "/>
      <sheetName val="THÉP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3">
          <cell r="J33">
            <v>1044</v>
          </cell>
        </row>
        <row r="41">
          <cell r="J41">
            <v>232</v>
          </cell>
        </row>
        <row r="48">
          <cell r="J48">
            <v>18</v>
          </cell>
        </row>
        <row r="49">
          <cell r="J49">
            <v>324</v>
          </cell>
        </row>
        <row r="52">
          <cell r="J52">
            <v>1044</v>
          </cell>
        </row>
        <row r="53">
          <cell r="J53">
            <v>1395</v>
          </cell>
        </row>
      </sheetData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2CBDD-7E2E-8C4F-8469-CC623D9034FD}">
  <dimension ref="A1:I15"/>
  <sheetViews>
    <sheetView tabSelected="1" topLeftCell="A10" workbookViewId="0">
      <selection sqref="A1:I15"/>
    </sheetView>
  </sheetViews>
  <sheetFormatPr baseColWidth="10" defaultRowHeight="16"/>
  <sheetData>
    <row r="1" spans="1:9">
      <c r="A1" s="1" t="s">
        <v>0</v>
      </c>
      <c r="B1" s="1"/>
      <c r="C1" s="2"/>
      <c r="D1" s="2"/>
      <c r="E1" s="3"/>
      <c r="F1" s="4"/>
      <c r="G1" s="4"/>
      <c r="H1" s="4"/>
      <c r="I1" s="3"/>
    </row>
    <row r="2" spans="1:9">
      <c r="A2" s="1" t="s">
        <v>1</v>
      </c>
      <c r="B2" s="1" t="s">
        <v>2</v>
      </c>
      <c r="C2" s="2"/>
      <c r="D2" s="2"/>
      <c r="E2" s="3"/>
      <c r="F2" s="4"/>
      <c r="G2" s="4"/>
      <c r="H2" s="4"/>
      <c r="I2" s="3"/>
    </row>
    <row r="3" spans="1:9">
      <c r="A3" s="5" t="s">
        <v>3</v>
      </c>
      <c r="B3" s="5" t="s">
        <v>4</v>
      </c>
      <c r="C3" s="2"/>
      <c r="D3" s="2"/>
      <c r="E3" s="3"/>
      <c r="F3" s="4"/>
      <c r="G3" s="4"/>
      <c r="H3" s="4"/>
      <c r="I3" s="3"/>
    </row>
    <row r="4" spans="1:9">
      <c r="A4" s="5"/>
      <c r="B4" s="5"/>
      <c r="C4" s="2"/>
      <c r="D4" s="2"/>
      <c r="E4" s="3"/>
      <c r="F4" s="4"/>
      <c r="G4" s="4"/>
      <c r="H4" s="4"/>
      <c r="I4" s="3"/>
    </row>
    <row r="5" spans="1:9">
      <c r="A5" s="5"/>
      <c r="B5" s="5"/>
      <c r="C5" s="2"/>
      <c r="D5" s="2"/>
      <c r="E5" s="3"/>
      <c r="F5" s="4"/>
      <c r="G5" s="4"/>
      <c r="H5" s="4"/>
      <c r="I5" s="3"/>
    </row>
    <row r="6" spans="1:9" ht="34">
      <c r="A6" s="6" t="s">
        <v>5</v>
      </c>
      <c r="B6" s="6" t="s">
        <v>6</v>
      </c>
      <c r="C6" s="6" t="s">
        <v>7</v>
      </c>
      <c r="D6" s="6" t="s">
        <v>8</v>
      </c>
      <c r="E6" s="6" t="s">
        <v>9</v>
      </c>
      <c r="F6" s="7" t="s">
        <v>10</v>
      </c>
      <c r="G6" s="8" t="s">
        <v>11</v>
      </c>
      <c r="H6" s="8" t="s">
        <v>12</v>
      </c>
      <c r="I6" s="9" t="s">
        <v>13</v>
      </c>
    </row>
    <row r="7" spans="1:9" ht="34">
      <c r="A7" s="10"/>
      <c r="B7" s="11" t="s">
        <v>14</v>
      </c>
      <c r="C7" s="12"/>
      <c r="D7" s="13"/>
      <c r="E7" s="14"/>
      <c r="F7" s="15"/>
      <c r="G7" s="15"/>
      <c r="H7" s="15"/>
      <c r="I7" s="16"/>
    </row>
    <row r="8" spans="1:9" ht="409.6">
      <c r="A8" s="17">
        <v>4</v>
      </c>
      <c r="B8" s="18" t="s">
        <v>15</v>
      </c>
      <c r="C8" s="18" t="s">
        <v>16</v>
      </c>
      <c r="D8" s="18"/>
      <c r="E8" s="19" t="s">
        <v>17</v>
      </c>
      <c r="F8" s="15">
        <f>[1]DGKL!J33</f>
        <v>1044</v>
      </c>
      <c r="G8" s="15"/>
      <c r="H8" s="15"/>
      <c r="I8" s="16"/>
    </row>
    <row r="9" spans="1:9" ht="409.6">
      <c r="A9" s="17">
        <v>4</v>
      </c>
      <c r="B9" s="18" t="s">
        <v>18</v>
      </c>
      <c r="C9" s="18" t="s">
        <v>19</v>
      </c>
      <c r="D9" s="18"/>
      <c r="E9" s="19" t="s">
        <v>17</v>
      </c>
      <c r="F9" s="15">
        <f>[1]DGKL!J33</f>
        <v>1044</v>
      </c>
      <c r="G9" s="15"/>
      <c r="H9" s="15"/>
      <c r="I9" s="16"/>
    </row>
    <row r="10" spans="1:9" ht="153">
      <c r="A10" s="17">
        <v>4</v>
      </c>
      <c r="B10" s="18" t="s">
        <v>20</v>
      </c>
      <c r="C10" s="18" t="s">
        <v>21</v>
      </c>
      <c r="D10" s="18"/>
      <c r="E10" s="19" t="s">
        <v>22</v>
      </c>
      <c r="F10" s="15">
        <f>[1]DGKL!J41</f>
        <v>232</v>
      </c>
      <c r="G10" s="15"/>
      <c r="H10" s="15"/>
      <c r="I10" s="16"/>
    </row>
    <row r="11" spans="1:9" ht="68">
      <c r="A11" s="17">
        <v>4</v>
      </c>
      <c r="B11" s="20" t="s">
        <v>23</v>
      </c>
      <c r="C11" s="21" t="s">
        <v>24</v>
      </c>
      <c r="D11" s="18"/>
      <c r="E11" s="19" t="s">
        <v>17</v>
      </c>
      <c r="F11" s="15">
        <f>[1]DGKL!J48</f>
        <v>18</v>
      </c>
      <c r="G11" s="15"/>
      <c r="H11" s="15"/>
      <c r="I11" s="16"/>
    </row>
    <row r="12" spans="1:9" ht="409.6">
      <c r="A12" s="17">
        <v>4</v>
      </c>
      <c r="B12" s="18" t="s">
        <v>25</v>
      </c>
      <c r="C12" s="18" t="s">
        <v>26</v>
      </c>
      <c r="D12" s="17"/>
      <c r="E12" s="19" t="s">
        <v>17</v>
      </c>
      <c r="F12" s="15">
        <f>[1]DGKL!J49</f>
        <v>324</v>
      </c>
      <c r="G12" s="15"/>
      <c r="H12" s="15"/>
      <c r="I12" s="16"/>
    </row>
    <row r="13" spans="1:9">
      <c r="A13" s="17">
        <v>4</v>
      </c>
      <c r="B13" s="18"/>
      <c r="C13" s="18"/>
      <c r="D13" s="17"/>
      <c r="E13" s="19" t="s">
        <v>17</v>
      </c>
      <c r="F13" s="15"/>
      <c r="G13" s="15"/>
      <c r="H13" s="15"/>
      <c r="I13" s="16"/>
    </row>
    <row r="14" spans="1:9" ht="409.6">
      <c r="A14" s="17">
        <v>4</v>
      </c>
      <c r="B14" s="18" t="s">
        <v>27</v>
      </c>
      <c r="C14" s="18" t="s">
        <v>28</v>
      </c>
      <c r="D14" s="17"/>
      <c r="E14" s="19" t="s">
        <v>17</v>
      </c>
      <c r="F14" s="15">
        <f>[1]DGKL!J52</f>
        <v>1044</v>
      </c>
      <c r="G14" s="15"/>
      <c r="H14" s="15"/>
      <c r="I14" s="16"/>
    </row>
    <row r="15" spans="1:9" ht="323">
      <c r="A15" s="17">
        <v>4</v>
      </c>
      <c r="B15" s="18" t="s">
        <v>29</v>
      </c>
      <c r="C15" s="18" t="s">
        <v>30</v>
      </c>
      <c r="D15" s="17"/>
      <c r="E15" s="19" t="s">
        <v>17</v>
      </c>
      <c r="F15" s="15">
        <f>[1]DGKL!J53</f>
        <v>1395</v>
      </c>
      <c r="G15" s="15"/>
      <c r="H15" s="15"/>
      <c r="I15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  Nguyen</dc:creator>
  <cp:lastModifiedBy>Helen  Nguyen</cp:lastModifiedBy>
  <dcterms:created xsi:type="dcterms:W3CDTF">2026-04-26T14:56:30Z</dcterms:created>
  <dcterms:modified xsi:type="dcterms:W3CDTF">2026-04-26T14:56:46Z</dcterms:modified>
</cp:coreProperties>
</file>